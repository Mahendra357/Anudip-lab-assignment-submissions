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<sst xmlns="http://schemas.openxmlformats.org/spreadsheetml/2006/main" count="96" uniqueCount="78">
  <si>
    <t>A(Product)</t>
  </si>
  <si>
    <t>B(City)</t>
  </si>
  <si>
    <t>C(Sales)</t>
  </si>
  <si>
    <t>Apple</t>
  </si>
  <si>
    <t>Mumbai</t>
  </si>
  <si>
    <t>Mango</t>
  </si>
  <si>
    <t>Nashik</t>
  </si>
  <si>
    <t>Orange</t>
  </si>
  <si>
    <t>Delhi</t>
  </si>
  <si>
    <t>Grapes</t>
  </si>
  <si>
    <t>Pune</t>
  </si>
  <si>
    <t>Banana</t>
  </si>
  <si>
    <t>Watermelon</t>
  </si>
  <si>
    <t>Questions.</t>
  </si>
  <si>
    <t>1. Return Product and City if sales greater then 100.</t>
  </si>
  <si>
    <t>Answer:</t>
  </si>
  <si>
    <t>2. Return Sales and product name if product is from mumbai.</t>
  </si>
  <si>
    <t>3. Return product and city if sales less than 100.</t>
  </si>
  <si>
    <t>4. Sort data by Sales Ascending and descending.</t>
  </si>
  <si>
    <t xml:space="preserve">Answer (asc): </t>
  </si>
  <si>
    <t>Answer(dsc):</t>
  </si>
  <si>
    <t>A</t>
  </si>
  <si>
    <t>B</t>
  </si>
  <si>
    <t>Multiplication</t>
  </si>
  <si>
    <t>Addition</t>
  </si>
  <si>
    <t>Subtraction</t>
  </si>
  <si>
    <t>Division</t>
  </si>
  <si>
    <t>Floor Divsion</t>
  </si>
  <si>
    <t>POWER ^</t>
  </si>
  <si>
    <t>Pass?</t>
  </si>
  <si>
    <t>Fail</t>
  </si>
  <si>
    <t>Pass</t>
  </si>
  <si>
    <t>Array Formula applies to entire range or array of cells.</t>
  </si>
  <si>
    <t>Student Name</t>
  </si>
  <si>
    <t>Uppercase</t>
  </si>
  <si>
    <t>Lowercase</t>
  </si>
  <si>
    <t>Trim</t>
  </si>
  <si>
    <t>Length</t>
  </si>
  <si>
    <t>IsNumber(True/False)</t>
  </si>
  <si>
    <t>IsBlank</t>
  </si>
  <si>
    <t xml:space="preserve">   Mahendra</t>
  </si>
  <si>
    <t>Samarth</t>
  </si>
  <si>
    <t>SAMARTH</t>
  </si>
  <si>
    <t>samarth</t>
  </si>
  <si>
    <t xml:space="preserve">   Pranjal</t>
  </si>
  <si>
    <t xml:space="preserve">   PRANJAL</t>
  </si>
  <si>
    <t xml:space="preserve">   pranjal</t>
  </si>
  <si>
    <t>Pranjal</t>
  </si>
  <si>
    <t>Harshal</t>
  </si>
  <si>
    <t>HARSHAL</t>
  </si>
  <si>
    <t>harshal</t>
  </si>
  <si>
    <t>Harshali</t>
  </si>
  <si>
    <t>HARSHALI</t>
  </si>
  <si>
    <t>harshali</t>
  </si>
  <si>
    <t xml:space="preserve">   Daksh  </t>
  </si>
  <si>
    <t xml:space="preserve">   DAKSH  </t>
  </si>
  <si>
    <t xml:space="preserve">   daksh  </t>
  </si>
  <si>
    <t>Daksh</t>
  </si>
  <si>
    <t>Renuka</t>
  </si>
  <si>
    <t>RENUKA</t>
  </si>
  <si>
    <t>renuka</t>
  </si>
  <si>
    <t>Aaditya</t>
  </si>
  <si>
    <t>AADITYA</t>
  </si>
  <si>
    <t>aaditya</t>
  </si>
  <si>
    <t xml:space="preserve">  Paavani</t>
  </si>
  <si>
    <t xml:space="preserve">  PAAVANI</t>
  </si>
  <si>
    <t xml:space="preserve">  paavani</t>
  </si>
  <si>
    <t>Paavani</t>
  </si>
  <si>
    <t>Asmita</t>
  </si>
  <si>
    <t>ASMITA</t>
  </si>
  <si>
    <t>asmita</t>
  </si>
  <si>
    <t>Diksha</t>
  </si>
  <si>
    <t>DIKSHA</t>
  </si>
  <si>
    <t>diksha</t>
  </si>
  <si>
    <t xml:space="preserve">   Gaurav</t>
  </si>
  <si>
    <t xml:space="preserve">   GAURAV</t>
  </si>
  <si>
    <t xml:space="preserve">   gaurav</t>
  </si>
  <si>
    <t>Gaurav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</si>
</sst>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2" xfId="0" applyFont="1" applyNumberForma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1" t="s">
        <v>3</v>
      </c>
      <c r="B2" s="1" t="s">
        <v>4</v>
      </c>
      <c r="C2" s="3">
        <v>80.0</v>
      </c>
      <c r="D2" s="2"/>
      <c r="E2" s="2"/>
    </row>
    <row r="3">
      <c r="A3" s="1" t="s">
        <v>5</v>
      </c>
      <c r="B3" s="1" t="s">
        <v>6</v>
      </c>
      <c r="C3" s="3">
        <v>90.0</v>
      </c>
      <c r="D3" s="2"/>
      <c r="E3" s="2"/>
    </row>
    <row r="4">
      <c r="A4" s="1" t="s">
        <v>7</v>
      </c>
      <c r="B4" s="1" t="s">
        <v>8</v>
      </c>
      <c r="C4" s="3">
        <v>110.0</v>
      </c>
      <c r="D4" s="2"/>
      <c r="E4" s="2"/>
    </row>
    <row r="5">
      <c r="A5" s="1" t="s">
        <v>9</v>
      </c>
      <c r="B5" s="1" t="s">
        <v>10</v>
      </c>
      <c r="C5" s="3">
        <v>150.0</v>
      </c>
      <c r="D5" s="2"/>
      <c r="E5" s="2"/>
    </row>
    <row r="6">
      <c r="A6" s="2" t="s">
        <v>11</v>
      </c>
      <c r="B6" s="2" t="s">
        <v>4</v>
      </c>
      <c r="C6" s="4">
        <v>95.0</v>
      </c>
      <c r="D6" s="2"/>
      <c r="E6" s="2"/>
    </row>
    <row r="7">
      <c r="A7" s="2" t="s">
        <v>12</v>
      </c>
      <c r="B7" s="2" t="s">
        <v>8</v>
      </c>
      <c r="C7" s="4">
        <v>90.0</v>
      </c>
      <c r="D7" s="2"/>
      <c r="E7" s="2"/>
    </row>
    <row r="8">
      <c r="A8" s="2"/>
      <c r="B8" s="2"/>
      <c r="C8" s="2"/>
      <c r="D8" s="2"/>
      <c r="E8" s="2"/>
    </row>
    <row r="9">
      <c r="A9" s="1" t="s">
        <v>13</v>
      </c>
      <c r="B9" s="2"/>
      <c r="C9" s="2"/>
      <c r="D9" s="2"/>
      <c r="E9" s="2"/>
    </row>
    <row r="10">
      <c r="A10" s="1" t="s">
        <v>14</v>
      </c>
    </row>
    <row r="11">
      <c r="A11" s="2"/>
      <c r="B11" s="2"/>
      <c r="C11" s="2"/>
      <c r="D11" s="2"/>
      <c r="E11" s="2"/>
    </row>
    <row r="12">
      <c r="A12" s="2" t="s">
        <v>15</v>
      </c>
      <c r="B12" s="5" t="str">
        <f>IFERROR(__xludf.DUMMYFUNCTION("QUERY(A1:C5,""SELECT A,B WHERE C &gt; 100"",1)"),"A(Product)")</f>
        <v>A(Product)</v>
      </c>
      <c r="C12" s="1" t="str">
        <f>IFERROR(__xludf.DUMMYFUNCTION("""COMPUTED_VALUE"""),"B(City)")</f>
        <v>B(City)</v>
      </c>
      <c r="D12" s="2"/>
      <c r="E12" s="2"/>
    </row>
    <row r="13">
      <c r="A13" s="2"/>
      <c r="B13" s="2" t="str">
        <f>IFERROR(__xludf.DUMMYFUNCTION("""COMPUTED_VALUE"""),"Orange")</f>
        <v>Orange</v>
      </c>
      <c r="C13" s="2" t="str">
        <f>IFERROR(__xludf.DUMMYFUNCTION("""COMPUTED_VALUE"""),"Delhi")</f>
        <v>Delhi</v>
      </c>
      <c r="D13" s="2"/>
      <c r="E13" s="2"/>
    </row>
    <row r="14">
      <c r="A14" s="2"/>
      <c r="B14" s="2" t="str">
        <f>IFERROR(__xludf.DUMMYFUNCTION("""COMPUTED_VALUE"""),"Grapes")</f>
        <v>Grapes</v>
      </c>
      <c r="C14" s="2" t="str">
        <f>IFERROR(__xludf.DUMMYFUNCTION("""COMPUTED_VALUE"""),"Pune")</f>
        <v>Pune</v>
      </c>
      <c r="D14" s="2"/>
      <c r="E14" s="2"/>
    </row>
    <row r="15">
      <c r="A15" s="2"/>
      <c r="B15" s="2"/>
      <c r="C15" s="2"/>
      <c r="D15" s="2"/>
      <c r="E15" s="2"/>
    </row>
    <row r="16">
      <c r="A16" s="2" t="s">
        <v>16</v>
      </c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 t="s">
        <v>15</v>
      </c>
      <c r="B18" s="2" t="str">
        <f>IFERROR(__xludf.DUMMYFUNCTION("QUERY(A1:C6,""SELECT A , C WHERE B = 'Mumbai'"",1)"),"A(Product)")</f>
        <v>A(Product)</v>
      </c>
      <c r="C18" s="2" t="str">
        <f>IFERROR(__xludf.DUMMYFUNCTION("""COMPUTED_VALUE"""),"C(Sales)")</f>
        <v>C(Sales)</v>
      </c>
      <c r="D18" s="2"/>
      <c r="E18" s="2"/>
    </row>
    <row r="19">
      <c r="A19" s="2"/>
      <c r="B19" s="2" t="str">
        <f>IFERROR(__xludf.DUMMYFUNCTION("""COMPUTED_VALUE"""),"Apple")</f>
        <v>Apple</v>
      </c>
      <c r="C19" s="4">
        <f>IFERROR(__xludf.DUMMYFUNCTION("""COMPUTED_VALUE"""),80.0)</f>
        <v>80</v>
      </c>
      <c r="D19" s="2"/>
      <c r="E19" s="2"/>
    </row>
    <row r="20">
      <c r="A20" s="2"/>
      <c r="B20" s="2" t="str">
        <f>IFERROR(__xludf.DUMMYFUNCTION("""COMPUTED_VALUE"""),"Banana")</f>
        <v>Banana</v>
      </c>
      <c r="C20" s="4">
        <f>IFERROR(__xludf.DUMMYFUNCTION("""COMPUTED_VALUE"""),95.0)</f>
        <v>95</v>
      </c>
      <c r="D20" s="2"/>
      <c r="E20" s="2"/>
    </row>
    <row r="21">
      <c r="A21" s="2"/>
      <c r="B21" s="2"/>
      <c r="C21" s="2"/>
      <c r="D21" s="2"/>
      <c r="E21" s="2"/>
    </row>
    <row r="22">
      <c r="A22" s="2" t="s">
        <v>17</v>
      </c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 t="s">
        <v>15</v>
      </c>
      <c r="B24" s="2" t="str">
        <f>IFERROR(__xludf.DUMMYFUNCTION("QUERY(A1:C7,""SELECT A , B WHERE C &lt; 100 "",1)"),"A(Product)")</f>
        <v>A(Product)</v>
      </c>
      <c r="C24" s="2" t="str">
        <f>IFERROR(__xludf.DUMMYFUNCTION("""COMPUTED_VALUE"""),"B(City)")</f>
        <v>B(City)</v>
      </c>
      <c r="D24" s="2"/>
      <c r="E24" s="2"/>
    </row>
    <row r="25">
      <c r="A25" s="2"/>
      <c r="B25" s="2" t="str">
        <f>IFERROR(__xludf.DUMMYFUNCTION("""COMPUTED_VALUE"""),"Apple")</f>
        <v>Apple</v>
      </c>
      <c r="C25" s="2" t="str">
        <f>IFERROR(__xludf.DUMMYFUNCTION("""COMPUTED_VALUE"""),"Mumbai")</f>
        <v>Mumbai</v>
      </c>
      <c r="D25" s="2"/>
      <c r="E25" s="2"/>
    </row>
    <row r="26">
      <c r="A26" s="2"/>
      <c r="B26" s="2" t="str">
        <f>IFERROR(__xludf.DUMMYFUNCTION("""COMPUTED_VALUE"""),"Mango")</f>
        <v>Mango</v>
      </c>
      <c r="C26" s="2" t="str">
        <f>IFERROR(__xludf.DUMMYFUNCTION("""COMPUTED_VALUE"""),"Nashik")</f>
        <v>Nashik</v>
      </c>
      <c r="D26" s="2"/>
      <c r="E26" s="2"/>
    </row>
    <row r="27">
      <c r="A27" s="2"/>
      <c r="B27" s="2" t="str">
        <f>IFERROR(__xludf.DUMMYFUNCTION("""COMPUTED_VALUE"""),"Banana")</f>
        <v>Banana</v>
      </c>
      <c r="C27" s="2" t="str">
        <f>IFERROR(__xludf.DUMMYFUNCTION("""COMPUTED_VALUE"""),"Mumbai")</f>
        <v>Mumbai</v>
      </c>
      <c r="D27" s="2"/>
      <c r="E27" s="2"/>
    </row>
    <row r="28">
      <c r="A28" s="2"/>
      <c r="B28" s="2" t="str">
        <f>IFERROR(__xludf.DUMMYFUNCTION("""COMPUTED_VALUE"""),"Watermelon")</f>
        <v>Watermelon</v>
      </c>
      <c r="C28" s="2" t="str">
        <f>IFERROR(__xludf.DUMMYFUNCTION("""COMPUTED_VALUE"""),"Delhi")</f>
        <v>Delhi</v>
      </c>
      <c r="D28" s="2"/>
      <c r="E28" s="2"/>
    </row>
    <row r="29">
      <c r="A29" s="2"/>
      <c r="B29" s="2"/>
      <c r="C29" s="2"/>
      <c r="D29" s="2"/>
      <c r="E29" s="2"/>
    </row>
    <row r="30">
      <c r="A30" s="2" t="s">
        <v>18</v>
      </c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 t="s">
        <v>19</v>
      </c>
      <c r="B32" s="2" t="str">
        <f>IFERROR(__xludf.DUMMYFUNCTION("QUERY(A1:C7,""SELECT * ORDER BY C ASC"",1)"),"A(Product)")</f>
        <v>A(Product)</v>
      </c>
      <c r="C32" s="2" t="str">
        <f>IFERROR(__xludf.DUMMYFUNCTION("""COMPUTED_VALUE"""),"B(City)")</f>
        <v>B(City)</v>
      </c>
      <c r="D32" s="2" t="str">
        <f>IFERROR(__xludf.DUMMYFUNCTION("""COMPUTED_VALUE"""),"C(Sales)")</f>
        <v>C(Sales)</v>
      </c>
      <c r="E32" s="2"/>
    </row>
    <row r="33">
      <c r="A33" s="2"/>
      <c r="B33" s="2" t="str">
        <f>IFERROR(__xludf.DUMMYFUNCTION("""COMPUTED_VALUE"""),"Apple")</f>
        <v>Apple</v>
      </c>
      <c r="C33" s="2" t="str">
        <f>IFERROR(__xludf.DUMMYFUNCTION("""COMPUTED_VALUE"""),"Mumbai")</f>
        <v>Mumbai</v>
      </c>
      <c r="D33" s="4">
        <f>IFERROR(__xludf.DUMMYFUNCTION("""COMPUTED_VALUE"""),80.0)</f>
        <v>80</v>
      </c>
      <c r="E33" s="2"/>
    </row>
    <row r="34">
      <c r="A34" s="2"/>
      <c r="B34" s="2" t="str">
        <f>IFERROR(__xludf.DUMMYFUNCTION("""COMPUTED_VALUE"""),"Mango")</f>
        <v>Mango</v>
      </c>
      <c r="C34" s="2" t="str">
        <f>IFERROR(__xludf.DUMMYFUNCTION("""COMPUTED_VALUE"""),"Nashik")</f>
        <v>Nashik</v>
      </c>
      <c r="D34" s="4">
        <f>IFERROR(__xludf.DUMMYFUNCTION("""COMPUTED_VALUE"""),90.0)</f>
        <v>90</v>
      </c>
      <c r="E34" s="2"/>
    </row>
    <row r="35">
      <c r="A35" s="2"/>
      <c r="B35" s="2" t="str">
        <f>IFERROR(__xludf.DUMMYFUNCTION("""COMPUTED_VALUE"""),"Watermelon")</f>
        <v>Watermelon</v>
      </c>
      <c r="C35" s="2" t="str">
        <f>IFERROR(__xludf.DUMMYFUNCTION("""COMPUTED_VALUE"""),"Delhi")</f>
        <v>Delhi</v>
      </c>
      <c r="D35" s="4">
        <f>IFERROR(__xludf.DUMMYFUNCTION("""COMPUTED_VALUE"""),90.0)</f>
        <v>90</v>
      </c>
      <c r="E35" s="2"/>
    </row>
    <row r="36">
      <c r="A36" s="2"/>
      <c r="B36" s="2" t="str">
        <f>IFERROR(__xludf.DUMMYFUNCTION("""COMPUTED_VALUE"""),"Banana")</f>
        <v>Banana</v>
      </c>
      <c r="C36" s="2" t="str">
        <f>IFERROR(__xludf.DUMMYFUNCTION("""COMPUTED_VALUE"""),"Mumbai")</f>
        <v>Mumbai</v>
      </c>
      <c r="D36" s="4">
        <f>IFERROR(__xludf.DUMMYFUNCTION("""COMPUTED_VALUE"""),95.0)</f>
        <v>95</v>
      </c>
      <c r="E36" s="2"/>
    </row>
    <row r="37">
      <c r="A37" s="2"/>
      <c r="B37" s="2" t="str">
        <f>IFERROR(__xludf.DUMMYFUNCTION("""COMPUTED_VALUE"""),"Orange")</f>
        <v>Orange</v>
      </c>
      <c r="C37" s="2" t="str">
        <f>IFERROR(__xludf.DUMMYFUNCTION("""COMPUTED_VALUE"""),"Delhi")</f>
        <v>Delhi</v>
      </c>
      <c r="D37" s="4">
        <f>IFERROR(__xludf.DUMMYFUNCTION("""COMPUTED_VALUE"""),110.0)</f>
        <v>110</v>
      </c>
      <c r="E37" s="2"/>
    </row>
    <row r="38">
      <c r="A38" s="2"/>
      <c r="B38" s="2" t="str">
        <f>IFERROR(__xludf.DUMMYFUNCTION("""COMPUTED_VALUE"""),"Grapes")</f>
        <v>Grapes</v>
      </c>
      <c r="C38" s="2" t="str">
        <f>IFERROR(__xludf.DUMMYFUNCTION("""COMPUTED_VALUE"""),"Pune")</f>
        <v>Pune</v>
      </c>
      <c r="D38" s="4">
        <f>IFERROR(__xludf.DUMMYFUNCTION("""COMPUTED_VALUE"""),150.0)</f>
        <v>150</v>
      </c>
      <c r="E38" s="2"/>
    </row>
    <row r="39">
      <c r="A39" s="2"/>
      <c r="B39" s="2"/>
      <c r="C39" s="2"/>
      <c r="D39" s="2"/>
      <c r="E39" s="2"/>
    </row>
    <row r="40">
      <c r="A40" s="2" t="s">
        <v>20</v>
      </c>
      <c r="B40" s="2" t="str">
        <f>IFERROR(__xludf.DUMMYFUNCTION("QUERY(A1:C7,""SELECT * ORDER BY C DESC"",1)"),"A(Product)")</f>
        <v>A(Product)</v>
      </c>
      <c r="C40" s="2" t="str">
        <f>IFERROR(__xludf.DUMMYFUNCTION("""COMPUTED_VALUE"""),"B(City)")</f>
        <v>B(City)</v>
      </c>
      <c r="D40" s="2" t="str">
        <f>IFERROR(__xludf.DUMMYFUNCTION("""COMPUTED_VALUE"""),"C(Sales)")</f>
        <v>C(Sales)</v>
      </c>
      <c r="E40" s="2"/>
    </row>
    <row r="41">
      <c r="A41" s="2"/>
      <c r="B41" s="2" t="str">
        <f>IFERROR(__xludf.DUMMYFUNCTION("""COMPUTED_VALUE"""),"Grapes")</f>
        <v>Grapes</v>
      </c>
      <c r="C41" s="2" t="str">
        <f>IFERROR(__xludf.DUMMYFUNCTION("""COMPUTED_VALUE"""),"Pune")</f>
        <v>Pune</v>
      </c>
      <c r="D41" s="4">
        <f>IFERROR(__xludf.DUMMYFUNCTION("""COMPUTED_VALUE"""),150.0)</f>
        <v>150</v>
      </c>
      <c r="E41" s="2"/>
    </row>
    <row r="42">
      <c r="A42" s="2"/>
      <c r="B42" s="2" t="str">
        <f>IFERROR(__xludf.DUMMYFUNCTION("""COMPUTED_VALUE"""),"Orange")</f>
        <v>Orange</v>
      </c>
      <c r="C42" s="2" t="str">
        <f>IFERROR(__xludf.DUMMYFUNCTION("""COMPUTED_VALUE"""),"Delhi")</f>
        <v>Delhi</v>
      </c>
      <c r="D42" s="4">
        <f>IFERROR(__xludf.DUMMYFUNCTION("""COMPUTED_VALUE"""),110.0)</f>
        <v>110</v>
      </c>
      <c r="E42" s="2"/>
    </row>
    <row r="43">
      <c r="A43" s="2"/>
      <c r="B43" s="2" t="str">
        <f>IFERROR(__xludf.DUMMYFUNCTION("""COMPUTED_VALUE"""),"Banana")</f>
        <v>Banana</v>
      </c>
      <c r="C43" s="2" t="str">
        <f>IFERROR(__xludf.DUMMYFUNCTION("""COMPUTED_VALUE"""),"Mumbai")</f>
        <v>Mumbai</v>
      </c>
      <c r="D43" s="4">
        <f>IFERROR(__xludf.DUMMYFUNCTION("""COMPUTED_VALUE"""),95.0)</f>
        <v>95</v>
      </c>
      <c r="E43" s="2"/>
    </row>
    <row r="44">
      <c r="A44" s="2"/>
      <c r="B44" s="2" t="str">
        <f>IFERROR(__xludf.DUMMYFUNCTION("""COMPUTED_VALUE"""),"Mango")</f>
        <v>Mango</v>
      </c>
      <c r="C44" s="2" t="str">
        <f>IFERROR(__xludf.DUMMYFUNCTION("""COMPUTED_VALUE"""),"Nashik")</f>
        <v>Nashik</v>
      </c>
      <c r="D44" s="4">
        <f>IFERROR(__xludf.DUMMYFUNCTION("""COMPUTED_VALUE"""),90.0)</f>
        <v>90</v>
      </c>
      <c r="E44" s="2"/>
    </row>
    <row r="45">
      <c r="A45" s="2"/>
      <c r="B45" s="2" t="str">
        <f>IFERROR(__xludf.DUMMYFUNCTION("""COMPUTED_VALUE"""),"Watermelon")</f>
        <v>Watermelon</v>
      </c>
      <c r="C45" s="2" t="str">
        <f>IFERROR(__xludf.DUMMYFUNCTION("""COMPUTED_VALUE"""),"Delhi")</f>
        <v>Delhi</v>
      </c>
      <c r="D45" s="4">
        <f>IFERROR(__xludf.DUMMYFUNCTION("""COMPUTED_VALUE"""),90.0)</f>
        <v>90</v>
      </c>
      <c r="E45" s="2"/>
    </row>
    <row r="46">
      <c r="A46" s="2"/>
      <c r="B46" s="2" t="str">
        <f>IFERROR(__xludf.DUMMYFUNCTION("""COMPUTED_VALUE"""),"Apple")</f>
        <v>Apple</v>
      </c>
      <c r="C46" s="2" t="str">
        <f>IFERROR(__xludf.DUMMYFUNCTION("""COMPUTED_VALUE"""),"Mumbai")</f>
        <v>Mumbai</v>
      </c>
      <c r="D46" s="4">
        <f>IFERROR(__xludf.DUMMYFUNCTION("""COMPUTED_VALUE"""),80.0)</f>
        <v>80</v>
      </c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</sheetData>
  <mergeCells count="1">
    <mergeCell ref="A10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21</v>
      </c>
      <c r="B1" s="6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</row>
    <row r="2">
      <c r="A2" s="8">
        <v>2.0</v>
      </c>
      <c r="B2" s="8">
        <v>10.0</v>
      </c>
      <c r="C2" s="9">
        <f t="array" ref="C2:C11">A2:A11*B2:B11</f>
        <v>20</v>
      </c>
      <c r="D2" s="9">
        <f t="array" ref="D2:D11">A2:A11+B2:B11</f>
        <v>12</v>
      </c>
      <c r="E2" s="9">
        <f t="array" ref="E2:E11">A2:A11-B2:B11</f>
        <v>-8</v>
      </c>
      <c r="F2" s="10">
        <f t="array" ref="F2:F11">A2:A11/B2:B11</f>
        <v>0.2</v>
      </c>
      <c r="G2" s="9">
        <f t="array" ref="G2:G11">QUOTIENT(A2:A11,B2:B11)</f>
        <v>0</v>
      </c>
      <c r="H2" s="9">
        <f t="array" ref="H2:H11">A2:A11^B2:B11</f>
        <v>1024</v>
      </c>
      <c r="I2" s="9" t="str">
        <f t="array" ref="I2:I11">IF(A2:A11&gt;B2:B11,"Pass","Fail")</f>
        <v>Fail</v>
      </c>
    </row>
    <row r="3">
      <c r="A3" s="8">
        <v>3.0</v>
      </c>
      <c r="B3" s="8">
        <v>10.0</v>
      </c>
      <c r="C3" s="9">
        <v>30.0</v>
      </c>
      <c r="D3" s="9">
        <v>13.0</v>
      </c>
      <c r="E3" s="9">
        <v>-7.0</v>
      </c>
      <c r="F3" s="10">
        <v>0.3</v>
      </c>
      <c r="G3" s="9">
        <v>0.0</v>
      </c>
      <c r="H3" s="9">
        <v>59049.0</v>
      </c>
      <c r="I3" s="9" t="s">
        <v>30</v>
      </c>
    </row>
    <row r="4">
      <c r="A4" s="8">
        <v>4.0</v>
      </c>
      <c r="B4" s="8">
        <v>12.0</v>
      </c>
      <c r="C4" s="9">
        <v>48.0</v>
      </c>
      <c r="D4" s="9">
        <v>16.0</v>
      </c>
      <c r="E4" s="9">
        <v>-8.0</v>
      </c>
      <c r="F4" s="10">
        <v>0.3333333333333333</v>
      </c>
      <c r="G4" s="9">
        <v>0.0</v>
      </c>
      <c r="H4" s="9">
        <v>1.6777216E7</v>
      </c>
      <c r="I4" s="9" t="s">
        <v>30</v>
      </c>
    </row>
    <row r="5">
      <c r="A5" s="8">
        <v>5.0</v>
      </c>
      <c r="B5" s="8">
        <v>4.0</v>
      </c>
      <c r="C5" s="9">
        <v>20.0</v>
      </c>
      <c r="D5" s="9">
        <v>9.0</v>
      </c>
      <c r="E5" s="9">
        <v>1.0</v>
      </c>
      <c r="F5" s="10">
        <v>1.25</v>
      </c>
      <c r="G5" s="9">
        <v>1.0</v>
      </c>
      <c r="H5" s="9">
        <v>625.0</v>
      </c>
      <c r="I5" s="9" t="s">
        <v>31</v>
      </c>
    </row>
    <row r="6">
      <c r="A6" s="8">
        <v>7.0</v>
      </c>
      <c r="B6" s="8">
        <v>7.0</v>
      </c>
      <c r="C6" s="9">
        <v>49.0</v>
      </c>
      <c r="D6" s="9">
        <v>14.0</v>
      </c>
      <c r="E6" s="9">
        <v>0.0</v>
      </c>
      <c r="F6" s="10">
        <v>1.0</v>
      </c>
      <c r="G6" s="9">
        <v>1.0</v>
      </c>
      <c r="H6" s="9">
        <v>823543.0</v>
      </c>
      <c r="I6" s="9" t="s">
        <v>30</v>
      </c>
    </row>
    <row r="7">
      <c r="A7" s="8">
        <v>8.0</v>
      </c>
      <c r="B7" s="8">
        <v>9.0</v>
      </c>
      <c r="C7" s="9">
        <v>72.0</v>
      </c>
      <c r="D7" s="9">
        <v>17.0</v>
      </c>
      <c r="E7" s="9">
        <v>-1.0</v>
      </c>
      <c r="F7" s="10">
        <v>0.8888888888888888</v>
      </c>
      <c r="G7" s="9">
        <v>0.0</v>
      </c>
      <c r="H7" s="9">
        <v>1.34217728E8</v>
      </c>
      <c r="I7" s="9" t="s">
        <v>30</v>
      </c>
    </row>
    <row r="8">
      <c r="A8" s="8">
        <v>10.0</v>
      </c>
      <c r="B8" s="8">
        <v>8.0</v>
      </c>
      <c r="C8" s="9">
        <v>80.0</v>
      </c>
      <c r="D8" s="9">
        <v>18.0</v>
      </c>
      <c r="E8" s="9">
        <v>2.0</v>
      </c>
      <c r="F8" s="10">
        <v>1.25</v>
      </c>
      <c r="G8" s="9">
        <v>1.0</v>
      </c>
      <c r="H8" s="9">
        <v>1.0E8</v>
      </c>
      <c r="I8" s="9" t="s">
        <v>31</v>
      </c>
    </row>
    <row r="9">
      <c r="A9" s="8">
        <v>6.0</v>
      </c>
      <c r="B9" s="8">
        <v>12.0</v>
      </c>
      <c r="C9" s="9">
        <v>72.0</v>
      </c>
      <c r="D9" s="9">
        <v>18.0</v>
      </c>
      <c r="E9" s="9">
        <v>-6.0</v>
      </c>
      <c r="F9" s="10">
        <v>0.5</v>
      </c>
      <c r="G9" s="9">
        <v>0.0</v>
      </c>
      <c r="H9" s="9">
        <v>2.176782336E9</v>
      </c>
      <c r="I9" s="9" t="s">
        <v>30</v>
      </c>
    </row>
    <row r="10">
      <c r="A10" s="8">
        <v>7.0</v>
      </c>
      <c r="B10" s="8">
        <v>5.0</v>
      </c>
      <c r="C10" s="9">
        <v>35.0</v>
      </c>
      <c r="D10" s="9">
        <v>12.0</v>
      </c>
      <c r="E10" s="9">
        <v>2.0</v>
      </c>
      <c r="F10" s="10">
        <v>1.4</v>
      </c>
      <c r="G10" s="9">
        <v>1.0</v>
      </c>
      <c r="H10" s="9">
        <v>16807.0</v>
      </c>
      <c r="I10" s="9" t="s">
        <v>31</v>
      </c>
    </row>
    <row r="11">
      <c r="A11" s="8">
        <v>9.0</v>
      </c>
      <c r="B11" s="8">
        <v>3.0</v>
      </c>
      <c r="C11" s="9">
        <v>27.0</v>
      </c>
      <c r="D11" s="9">
        <v>12.0</v>
      </c>
      <c r="E11" s="9">
        <v>6.0</v>
      </c>
      <c r="F11" s="10">
        <v>3.0</v>
      </c>
      <c r="G11" s="9">
        <v>3.0</v>
      </c>
      <c r="H11" s="9">
        <v>729.0</v>
      </c>
      <c r="I11" s="9" t="s">
        <v>31</v>
      </c>
    </row>
    <row r="14">
      <c r="A14" s="7" t="s">
        <v>32</v>
      </c>
      <c r="B14" s="11"/>
      <c r="C14" s="11"/>
      <c r="D14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</cols>
  <sheetData>
    <row r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</row>
    <row r="2">
      <c r="A2" s="12" t="s">
        <v>40</v>
      </c>
      <c r="B2" s="9" t="str">
        <f t="array" ref="B2:B13">UPPER(A2:A13)</f>
        <v>   MAHENDRA</v>
      </c>
      <c r="C2" s="9" t="str">
        <f t="array" ref="C2:C13">LOWER(A2:A13)</f>
        <v>   mahendra</v>
      </c>
      <c r="D2" s="9" t="str">
        <f t="array" ref="D2:D13">TRIM(A2:A13)</f>
        <v>Mahendra</v>
      </c>
      <c r="E2" s="9">
        <f t="array" ref="E2:E13">LEN(A2:A13)</f>
        <v>11</v>
      </c>
      <c r="F2" s="9" t="b">
        <f t="array" ref="F2:F15">ISNUMBER(A2:A15)</f>
        <v>0</v>
      </c>
      <c r="G2" s="9" t="b">
        <f t="array" ref="G2:G15">ISBLANK(A2:A15)</f>
        <v>0</v>
      </c>
    </row>
    <row r="3">
      <c r="A3" s="12" t="s">
        <v>41</v>
      </c>
      <c r="B3" s="9" t="s">
        <v>42</v>
      </c>
      <c r="C3" s="9" t="s">
        <v>43</v>
      </c>
      <c r="D3" s="9" t="s">
        <v>41</v>
      </c>
      <c r="E3" s="9">
        <v>7.0</v>
      </c>
      <c r="F3" s="9" t="b">
        <v>0</v>
      </c>
      <c r="G3" s="9" t="b">
        <v>0</v>
      </c>
    </row>
    <row r="4">
      <c r="A4" s="12" t="s">
        <v>44</v>
      </c>
      <c r="B4" s="9" t="s">
        <v>45</v>
      </c>
      <c r="C4" s="9" t="s">
        <v>46</v>
      </c>
      <c r="D4" s="9" t="s">
        <v>47</v>
      </c>
      <c r="E4" s="9">
        <v>10.0</v>
      </c>
      <c r="F4" s="9" t="b">
        <v>0</v>
      </c>
      <c r="G4" s="9" t="b">
        <v>0</v>
      </c>
    </row>
    <row r="5">
      <c r="A5" s="12" t="s">
        <v>48</v>
      </c>
      <c r="B5" s="9" t="s">
        <v>49</v>
      </c>
      <c r="C5" s="9" t="s">
        <v>50</v>
      </c>
      <c r="D5" s="9" t="s">
        <v>48</v>
      </c>
      <c r="E5" s="9">
        <v>7.0</v>
      </c>
      <c r="F5" s="9" t="b">
        <v>0</v>
      </c>
      <c r="G5" s="9" t="b">
        <v>0</v>
      </c>
    </row>
    <row r="6">
      <c r="A6" s="12" t="s">
        <v>51</v>
      </c>
      <c r="B6" s="9" t="s">
        <v>52</v>
      </c>
      <c r="C6" s="9" t="s">
        <v>53</v>
      </c>
      <c r="D6" s="9" t="s">
        <v>51</v>
      </c>
      <c r="E6" s="9">
        <v>8.0</v>
      </c>
      <c r="F6" s="9" t="b">
        <v>0</v>
      </c>
      <c r="G6" s="9" t="b">
        <v>0</v>
      </c>
    </row>
    <row r="7">
      <c r="A7" s="12" t="s">
        <v>54</v>
      </c>
      <c r="B7" s="9" t="s">
        <v>55</v>
      </c>
      <c r="C7" s="9" t="s">
        <v>56</v>
      </c>
      <c r="D7" s="9" t="s">
        <v>57</v>
      </c>
      <c r="E7" s="9">
        <v>10.0</v>
      </c>
      <c r="F7" s="9" t="b">
        <v>0</v>
      </c>
      <c r="G7" s="9" t="b">
        <v>0</v>
      </c>
    </row>
    <row r="8">
      <c r="A8" s="12" t="s">
        <v>58</v>
      </c>
      <c r="B8" s="9" t="s">
        <v>59</v>
      </c>
      <c r="C8" s="9" t="s">
        <v>60</v>
      </c>
      <c r="D8" s="9" t="s">
        <v>58</v>
      </c>
      <c r="E8" s="9">
        <v>6.0</v>
      </c>
      <c r="F8" s="9" t="b">
        <v>0</v>
      </c>
      <c r="G8" s="9" t="b">
        <v>0</v>
      </c>
    </row>
    <row r="9">
      <c r="A9" s="12" t="s">
        <v>61</v>
      </c>
      <c r="B9" s="9" t="s">
        <v>62</v>
      </c>
      <c r="C9" s="9" t="s">
        <v>63</v>
      </c>
      <c r="D9" s="9" t="s">
        <v>61</v>
      </c>
      <c r="E9" s="9">
        <v>7.0</v>
      </c>
      <c r="F9" s="9" t="b">
        <v>0</v>
      </c>
      <c r="G9" s="9" t="b">
        <v>0</v>
      </c>
    </row>
    <row r="10">
      <c r="A10" s="12" t="s">
        <v>64</v>
      </c>
      <c r="B10" s="9" t="s">
        <v>65</v>
      </c>
      <c r="C10" s="9" t="s">
        <v>66</v>
      </c>
      <c r="D10" s="9" t="s">
        <v>67</v>
      </c>
      <c r="E10" s="9">
        <v>9.0</v>
      </c>
      <c r="F10" s="9" t="b">
        <v>0</v>
      </c>
      <c r="G10" s="9" t="b">
        <v>0</v>
      </c>
    </row>
    <row r="11">
      <c r="A11" s="12" t="s">
        <v>68</v>
      </c>
      <c r="B11" s="9" t="s">
        <v>69</v>
      </c>
      <c r="C11" s="9" t="s">
        <v>70</v>
      </c>
      <c r="D11" s="9" t="s">
        <v>68</v>
      </c>
      <c r="E11" s="9">
        <v>6.0</v>
      </c>
      <c r="F11" s="9" t="b">
        <v>0</v>
      </c>
      <c r="G11" s="9" t="b">
        <v>0</v>
      </c>
    </row>
    <row r="12">
      <c r="A12" s="12" t="s">
        <v>71</v>
      </c>
      <c r="B12" s="9" t="s">
        <v>72</v>
      </c>
      <c r="C12" s="9" t="s">
        <v>73</v>
      </c>
      <c r="D12" s="9" t="s">
        <v>71</v>
      </c>
      <c r="E12" s="9">
        <v>6.0</v>
      </c>
      <c r="F12" s="9" t="b">
        <v>0</v>
      </c>
      <c r="G12" s="9" t="b">
        <v>0</v>
      </c>
    </row>
    <row r="13">
      <c r="A13" s="12" t="s">
        <v>74</v>
      </c>
      <c r="B13" s="9" t="s">
        <v>75</v>
      </c>
      <c r="C13" s="9" t="s">
        <v>76</v>
      </c>
      <c r="D13" s="9" t="s">
        <v>77</v>
      </c>
      <c r="E13" s="9">
        <v>9.0</v>
      </c>
      <c r="F13" s="9" t="b">
        <v>0</v>
      </c>
      <c r="G13" s="9" t="b">
        <v>0</v>
      </c>
    </row>
    <row r="14">
      <c r="A14" s="12">
        <v>12.0</v>
      </c>
      <c r="F14" s="9" t="b">
        <v>1</v>
      </c>
      <c r="G14" s="9" t="b">
        <v>0</v>
      </c>
    </row>
    <row r="15">
      <c r="A15" s="12">
        <v>34.0</v>
      </c>
      <c r="F15" s="9" t="b">
        <v>1</v>
      </c>
      <c r="G15" s="9" t="b">
        <v>0</v>
      </c>
    </row>
  </sheetData>
  <drawing r:id="rId1"/>
</worksheet>
</file>