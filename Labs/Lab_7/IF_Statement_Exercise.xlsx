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/>
  <mc:AlternateContent xmlns:mc="http://schemas.openxmlformats.org/markup-compatibility/2006">
    <mc:Choice Requires="x15">
      <x15ac:absPath xmlns:x15ac="http://schemas.microsoft.com/office/spreadsheetml/2010/11/ac" url="C:\Users\Anudip\Downloads\"/>
    </mc:Choice>
  </mc:AlternateContent>
  <xr:revisionPtr revIDLastSave="0" documentId="13_ncr:1_{364CCC81-CB92-4C67-BE5B-10E724FEE3E8}" xr6:coauthVersionLast="37" xr6:coauthVersionMax="37" xr10:uidLastSave="{00000000-0000-0000-0000-000000000000}"/>
  <bookViews>
    <workbookView xWindow="0" yWindow="0" windowWidth="17970" windowHeight="5265" xr2:uid="{00000000-000D-0000-FFFF-FFFF00000000}"/>
  </bookViews>
  <sheets>
    <sheet name="SalesData" sheetId="1" r:id="rId1"/>
  </sheets>
  <calcPr calcId="179021"/>
</workbook>
</file>

<file path=xl/calcChain.xml><?xml version="1.0" encoding="utf-8"?>
<calcChain xmlns="http://schemas.openxmlformats.org/spreadsheetml/2006/main">
  <c r="M3" i="1" l="1"/>
  <c r="M7" i="1"/>
  <c r="M6" i="1"/>
  <c r="M4" i="1"/>
  <c r="M2" i="1"/>
  <c r="M5" i="1"/>
  <c r="L6" i="1"/>
  <c r="L3" i="1"/>
  <c r="L4" i="1"/>
  <c r="L5" i="1"/>
  <c r="L7" i="1"/>
  <c r="L2" i="1"/>
  <c r="K5" i="1"/>
  <c r="K6" i="1"/>
  <c r="K7" i="1"/>
  <c r="K4" i="1"/>
  <c r="K3" i="1"/>
  <c r="K2" i="1"/>
  <c r="J3" i="1"/>
  <c r="J4" i="1"/>
  <c r="J5" i="1"/>
  <c r="J6" i="1"/>
  <c r="J7" i="1"/>
  <c r="J2" i="1"/>
  <c r="I3" i="1"/>
  <c r="I4" i="1"/>
  <c r="I5" i="1"/>
  <c r="I6" i="1"/>
  <c r="I7" i="1"/>
  <c r="I2" i="1"/>
  <c r="H3" i="1"/>
  <c r="H4" i="1"/>
  <c r="H5" i="1"/>
  <c r="H6" i="1"/>
  <c r="H7" i="1"/>
  <c r="H2" i="1"/>
  <c r="G3" i="1"/>
  <c r="G4" i="1"/>
  <c r="G5" i="1"/>
  <c r="G6" i="1"/>
  <c r="G7" i="1"/>
  <c r="G2" i="1"/>
  <c r="F5" i="1"/>
  <c r="F6" i="1"/>
  <c r="F7" i="1"/>
  <c r="F4" i="1"/>
  <c r="F3" i="1"/>
  <c r="F2" i="1"/>
</calcChain>
</file>

<file path=xl/sharedStrings.xml><?xml version="1.0" encoding="utf-8"?>
<sst xmlns="http://schemas.openxmlformats.org/spreadsheetml/2006/main" count="132" uniqueCount="31">
  <si>
    <t>ProductID</t>
  </si>
  <si>
    <t>Product</t>
  </si>
  <si>
    <t>Sales</t>
  </si>
  <si>
    <t>Target</t>
  </si>
  <si>
    <t>Region</t>
  </si>
  <si>
    <t>Target Met?</t>
  </si>
  <si>
    <t>Regional Bonus Eligible?</t>
  </si>
  <si>
    <t>Commission Rate</t>
  </si>
  <si>
    <t>Bonus Amount</t>
  </si>
  <si>
    <t>Performance</t>
  </si>
  <si>
    <t>Price Tier</t>
  </si>
  <si>
    <t>Year-End Bonus</t>
  </si>
  <si>
    <t>High Performer?</t>
  </si>
  <si>
    <t>Product A</t>
  </si>
  <si>
    <t>North</t>
  </si>
  <si>
    <t>Product B</t>
  </si>
  <si>
    <t>South</t>
  </si>
  <si>
    <t>Product C</t>
  </si>
  <si>
    <t>East</t>
  </si>
  <si>
    <t>Product D</t>
  </si>
  <si>
    <t>West</t>
  </si>
  <si>
    <t>Product E</t>
  </si>
  <si>
    <t>Product F</t>
  </si>
  <si>
    <t>2. Use the IF function to determine if a product is eligible for a regional bonus. Products in the "North" region with sales over 200 are eligible.</t>
  </si>
  <si>
    <t>3. Use nested IF functions to assign a commission rate based on sales. Sales &gt;= 200 get a 10% commission, sales &gt;= 150 get a 7% commission, and others get a 5% commission.</t>
  </si>
  <si>
    <t>4. Use the IF function to calculate a bonus amount. If sales met or exceeded the target, the bonus is 10% of the sales; otherwise, it's 5%.</t>
  </si>
  <si>
    <t xml:space="preserve">1. Use the IF function to evaluate whether each product met its sales target.    </t>
  </si>
  <si>
    <t xml:space="preserve"> 7. Use the IF function to calculate the year-end bonus. If sales &gt;= 150 and region is "North", the bonus is $500, otherwise, it's $300. </t>
  </si>
  <si>
    <t>8. Use the IF function to mark high performers. A product is a high performer if its sales are in the top 25% of all sales.</t>
  </si>
  <si>
    <t xml:space="preserve">6.. Use the IF function to assign a price tier based on the sales value. "High" for sales &gt; 200, "Medium" for sales between 100 and 200, and "Low" for sales &lt; 100. </t>
  </si>
  <si>
    <t xml:space="preserve">5. Use the IF function to categorize sales performance as "Excellent" (&gt;=200), "Good" (&gt;=150), or "Needs Improvement" (&lt;150).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</si>
</sst>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B9CEFD"/>
        <bgColor indexed="64"/>
      </patternFill>
    </fill>
    <fill>
      <patternFill patternType="solid">
        <fgColor rgb="FFF2F1CF"/>
        <bgColor indexed="64"/>
      </patternFill>
    </fill>
    <fill>
      <patternFill patternType="solid">
        <fgColor rgb="FFE3B5D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31">
    <xf numFmtId="0" fontId="0" fillId="0" borderId="0" xfId="0"/>
    <xf numFmtId="0" fontId="0" fillId="2" borderId="0" xfId="0" applyFill="1"/>
    <xf numFmtId="0" fontId="0" fillId="3" borderId="0" xfId="0" applyFill="1"/>
    <xf numFmtId="0" fontId="1" fillId="2" borderId="1" xfId="0" applyFont="1" applyFill="1" applyBorder="1"/>
    <xf numFmtId="0" fontId="1" fillId="3" borderId="1" xfId="0" applyFont="1" applyFill="1" applyBorder="1"/>
    <xf numFmtId="0" fontId="0" fillId="2" borderId="1" xfId="0" applyFill="1" applyBorder="1"/>
    <xf numFmtId="0" fontId="1" fillId="4" borderId="1" xfId="0" applyFont="1" applyFill="1" applyBorder="1"/>
    <xf numFmtId="0" fontId="0" fillId="4" borderId="0" xfId="0" applyFill="1"/>
    <xf numFmtId="9" fontId="0" fillId="0" borderId="0" xfId="2" applyFont="1"/>
    <xf numFmtId="9" fontId="0" fillId="4" borderId="1" xfId="2" applyFont="1" applyFill="1" applyBorder="1"/>
    <xf numFmtId="0" fontId="1" fillId="5" borderId="1" xfId="0" applyFont="1" applyFill="1" applyBorder="1"/>
    <xf numFmtId="0" fontId="0" fillId="5" borderId="0" xfId="0" applyFill="1"/>
    <xf numFmtId="2" fontId="0" fillId="5" borderId="1" xfId="2" applyNumberFormat="1" applyFont="1" applyFill="1" applyBorder="1"/>
    <xf numFmtId="0" fontId="1" fillId="6" borderId="1" xfId="0" applyFont="1" applyFill="1" applyBorder="1"/>
    <xf numFmtId="0" fontId="0" fillId="6" borderId="1" xfId="0" applyFill="1" applyBorder="1"/>
    <xf numFmtId="0" fontId="0" fillId="6" borderId="0" xfId="0" applyFill="1" applyAlignment="1">
      <alignment horizontal="left" vertical="center" wrapText="1"/>
    </xf>
    <xf numFmtId="0" fontId="1" fillId="7" borderId="1" xfId="0" applyFont="1" applyFill="1" applyBorder="1"/>
    <xf numFmtId="0" fontId="0" fillId="7" borderId="1" xfId="0" applyFill="1" applyBorder="1"/>
    <xf numFmtId="0" fontId="0" fillId="7" borderId="0" xfId="0" applyFill="1" applyAlignment="1">
      <alignment horizontal="left" wrapText="1"/>
    </xf>
    <xf numFmtId="0" fontId="0" fillId="0" borderId="0" xfId="0" applyFill="1" applyAlignment="1">
      <alignment wrapText="1"/>
    </xf>
    <xf numFmtId="0" fontId="0" fillId="0" borderId="0" xfId="0" applyFill="1"/>
    <xf numFmtId="0" fontId="1" fillId="8" borderId="1" xfId="0" applyFont="1" applyFill="1" applyBorder="1"/>
    <xf numFmtId="44" fontId="0" fillId="8" borderId="1" xfId="1" applyFont="1" applyFill="1" applyBorder="1"/>
    <xf numFmtId="0" fontId="0" fillId="8" borderId="0" xfId="0" applyFill="1"/>
    <xf numFmtId="0" fontId="1" fillId="9" borderId="1" xfId="0" applyFont="1" applyFill="1" applyBorder="1"/>
    <xf numFmtId="0" fontId="0" fillId="9" borderId="1" xfId="0" applyFill="1" applyBorder="1"/>
    <xf numFmtId="0" fontId="3" fillId="3" borderId="1" xfId="0" applyFont="1" applyFill="1" applyBorder="1"/>
    <xf numFmtId="0" fontId="4" fillId="3" borderId="1" xfId="0" applyFont="1" applyFill="1" applyBorder="1"/>
    <xf numFmtId="0" fontId="1" fillId="10" borderId="1" xfId="0" applyFont="1" applyFill="1" applyBorder="1"/>
    <xf numFmtId="0" fontId="0" fillId="10" borderId="1" xfId="0" applyFill="1" applyBorder="1"/>
    <xf numFmtId="0" fontId="0" fillId="10" borderId="0" xfId="0" applyFill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  <colors>
    <mruColors>
      <color rgb="FFFFCCFF"/>
      <color rgb="FFFF99FF"/>
      <color rgb="FFE3B5D4"/>
      <color rgb="FFB9CEFD"/>
      <color rgb="FF99CCFF"/>
      <color rgb="FFCCECFF"/>
      <color rgb="FFCCFFCC"/>
      <color rgb="FFC4F2CD"/>
      <color rgb="FFF2F1CF"/>
      <color rgb="FFD1F6F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7"/>
  <sheetViews>
    <sheetView tabSelected="1" workbookViewId="0">
      <selection activeCell="H19" sqref="H19"/>
    </sheetView>
  </sheetViews>
  <sheetFormatPr defaultRowHeight="15" x14ac:dyDescent="0.25"/>
  <cols>
    <col min="1" max="1" width="12" customWidth="1"/>
    <col min="2" max="2" width="15" customWidth="1"/>
    <col min="3" max="4" width="10" customWidth="1"/>
    <col min="5" max="5" width="12" customWidth="1"/>
    <col min="6" max="6" width="15" customWidth="1"/>
    <col min="7" max="7" width="25" customWidth="1"/>
    <col min="8" max="8" width="18" customWidth="1"/>
    <col min="9" max="9" width="15" customWidth="1"/>
    <col min="10" max="10" width="21.42578125" customWidth="1"/>
    <col min="11" max="11" width="15.28515625" customWidth="1"/>
    <col min="12" max="12" width="15.7109375" customWidth="1"/>
    <col min="13" max="13" width="16.42578125" customWidth="1"/>
  </cols>
  <sheetData>
    <row r="1" spans="1:13" x14ac:dyDescent="0.25">
      <c r="A1" s="24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3" t="s">
        <v>5</v>
      </c>
      <c r="G1" s="4" t="s">
        <v>6</v>
      </c>
      <c r="H1" s="6" t="s">
        <v>7</v>
      </c>
      <c r="I1" s="10" t="s">
        <v>8</v>
      </c>
      <c r="J1" s="13" t="s">
        <v>9</v>
      </c>
      <c r="K1" s="16" t="s">
        <v>10</v>
      </c>
      <c r="L1" s="21" t="s">
        <v>11</v>
      </c>
      <c r="M1" s="28" t="s">
        <v>12</v>
      </c>
    </row>
    <row r="2" spans="1:13" x14ac:dyDescent="0.25">
      <c r="A2" s="25">
        <v>101</v>
      </c>
      <c r="B2" s="25" t="s">
        <v>13</v>
      </c>
      <c r="C2" s="25">
        <v>120</v>
      </c>
      <c r="D2" s="25">
        <v>150</v>
      </c>
      <c r="E2" s="25" t="s">
        <v>14</v>
      </c>
      <c r="F2" s="5" t="str">
        <f>IF(C2&gt;D2,"YES","NO")</f>
        <v>NO</v>
      </c>
      <c r="G2" s="26" t="str">
        <f>IF(AND(C2&gt;200,E2="North"),"ELIGIBLE","NOT ELIGIBLE")</f>
        <v>NOT ELIGIBLE</v>
      </c>
      <c r="H2" s="9">
        <f>IF(C2&gt;=200,10%,IF(C2&gt;=150,7%,5%))</f>
        <v>0.05</v>
      </c>
      <c r="I2" s="12">
        <f>IF(C2&gt;D2,C2*10%,C2*5%)</f>
        <v>6</v>
      </c>
      <c r="J2" s="14" t="str">
        <f>IF(C2&gt;=200,"Excellent",IF(C2&gt;=150,"Good","Needs Improvement"))</f>
        <v>Needs Improvement</v>
      </c>
      <c r="K2" s="17" t="str">
        <f>IF(C2&gt;200,"High",IF(AND(C2&gt;100,C2&lt;200),"Medium","Low"))</f>
        <v>Medium</v>
      </c>
      <c r="L2" s="22">
        <f>IF(AND(C2&gt;=150,E2="North"),500,300)</f>
        <v>300</v>
      </c>
      <c r="M2" s="29" t="str">
        <f>IF(C2&gt;=QUARTILE(C2:C7,3),"YES","NO")</f>
        <v>NO</v>
      </c>
    </row>
    <row r="3" spans="1:13" x14ac:dyDescent="0.25">
      <c r="A3" s="25">
        <v>102</v>
      </c>
      <c r="B3" s="25" t="s">
        <v>15</v>
      </c>
      <c r="C3" s="25">
        <v>150</v>
      </c>
      <c r="D3" s="25">
        <v>140</v>
      </c>
      <c r="E3" s="25" t="s">
        <v>16</v>
      </c>
      <c r="F3" s="5" t="str">
        <f t="shared" ref="F3:F7" si="0">IF(C3&gt;D3,"YES","NO")</f>
        <v>YES</v>
      </c>
      <c r="G3" s="26" t="str">
        <f t="shared" ref="G3:G7" si="1">IF(AND(C3&gt;200,E3="North"),"ELIGIBLE","NOT ELIGIBLE")</f>
        <v>NOT ELIGIBLE</v>
      </c>
      <c r="H3" s="9">
        <f t="shared" ref="H3:H7" si="2">IF(C3&gt;=200,10%,IF(C3&gt;=150,7%,5%))</f>
        <v>7.0000000000000007E-2</v>
      </c>
      <c r="I3" s="12">
        <f t="shared" ref="I3:I7" si="3">IF(C3&gt;D3,C3*10%,C3*5%)</f>
        <v>15</v>
      </c>
      <c r="J3" s="14" t="str">
        <f t="shared" ref="J3:J7" si="4">IF(C3&gt;=200,"Excellent",IF(C3&gt;=150,"Good","Needs Improvement"))</f>
        <v>Good</v>
      </c>
      <c r="K3" s="17" t="str">
        <f t="shared" ref="K3:K7" si="5">IF(C3&gt;200,"High",IF(AND(C3&gt;100,C3&lt;200),"Medium","Low"))</f>
        <v>Medium</v>
      </c>
      <c r="L3" s="22">
        <f t="shared" ref="L3:L7" si="6">IF(AND(C3&gt;=150,E3="North"),500,300)</f>
        <v>300</v>
      </c>
      <c r="M3" s="29" t="str">
        <f>IF(C3&gt;=QUARTILE(C2:C7,3),"YES","NO")</f>
        <v>NO</v>
      </c>
    </row>
    <row r="4" spans="1:13" x14ac:dyDescent="0.25">
      <c r="A4" s="25">
        <v>103</v>
      </c>
      <c r="B4" s="25" t="s">
        <v>17</v>
      </c>
      <c r="C4" s="25">
        <v>200</v>
      </c>
      <c r="D4" s="25">
        <v>200</v>
      </c>
      <c r="E4" s="25" t="s">
        <v>18</v>
      </c>
      <c r="F4" s="5" t="str">
        <f>IF(C4&gt;=D4,"YES","NO")</f>
        <v>YES</v>
      </c>
      <c r="G4" s="26" t="str">
        <f t="shared" si="1"/>
        <v>NOT ELIGIBLE</v>
      </c>
      <c r="H4" s="9">
        <f t="shared" si="2"/>
        <v>0.1</v>
      </c>
      <c r="I4" s="12">
        <f t="shared" si="3"/>
        <v>10</v>
      </c>
      <c r="J4" s="14" t="str">
        <f t="shared" si="4"/>
        <v>Excellent</v>
      </c>
      <c r="K4" s="17" t="str">
        <f>IF(C4&gt;=200,"High",IF(AND(C4&gt;100,C4&lt;200),"Medium","Low"))</f>
        <v>High</v>
      </c>
      <c r="L4" s="22">
        <f t="shared" si="6"/>
        <v>300</v>
      </c>
      <c r="M4" s="29" t="str">
        <f>IF(C4&gt;=QUARTILE(C2:C7,3),"YES","NO")</f>
        <v>YES</v>
      </c>
    </row>
    <row r="5" spans="1:13" x14ac:dyDescent="0.25">
      <c r="A5" s="25">
        <v>104</v>
      </c>
      <c r="B5" s="25" t="s">
        <v>19</v>
      </c>
      <c r="C5" s="25">
        <v>90</v>
      </c>
      <c r="D5" s="25">
        <v>100</v>
      </c>
      <c r="E5" s="25" t="s">
        <v>20</v>
      </c>
      <c r="F5" s="5" t="str">
        <f t="shared" ref="F5:F7" si="7">IF(C5&gt;=D5,"YES","NO")</f>
        <v>NO</v>
      </c>
      <c r="G5" s="26" t="str">
        <f t="shared" si="1"/>
        <v>NOT ELIGIBLE</v>
      </c>
      <c r="H5" s="9">
        <f t="shared" si="2"/>
        <v>0.05</v>
      </c>
      <c r="I5" s="12">
        <f t="shared" si="3"/>
        <v>4.5</v>
      </c>
      <c r="J5" s="14" t="str">
        <f t="shared" si="4"/>
        <v>Needs Improvement</v>
      </c>
      <c r="K5" s="17" t="str">
        <f t="shared" ref="K5:K7" si="8">IF(C5&gt;=200,"High",IF(AND(C5&gt;100,C5&lt;200),"Medium","Low"))</f>
        <v>Low</v>
      </c>
      <c r="L5" s="22">
        <f t="shared" si="6"/>
        <v>300</v>
      </c>
      <c r="M5" s="29" t="str">
        <f t="shared" ref="M3:M7" si="9">IF(C5&gt;=QUARTILE(C5:C10,3),"YES","NO")</f>
        <v>NO</v>
      </c>
    </row>
    <row r="6" spans="1:13" x14ac:dyDescent="0.25">
      <c r="A6" s="25">
        <v>105</v>
      </c>
      <c r="B6" s="25" t="s">
        <v>21</v>
      </c>
      <c r="C6" s="25">
        <v>220</v>
      </c>
      <c r="D6" s="25">
        <v>210</v>
      </c>
      <c r="E6" s="25" t="s">
        <v>14</v>
      </c>
      <c r="F6" s="5" t="str">
        <f t="shared" si="7"/>
        <v>YES</v>
      </c>
      <c r="G6" s="27" t="str">
        <f t="shared" si="1"/>
        <v>ELIGIBLE</v>
      </c>
      <c r="H6" s="9">
        <f t="shared" si="2"/>
        <v>0.1</v>
      </c>
      <c r="I6" s="12">
        <f t="shared" si="3"/>
        <v>22</v>
      </c>
      <c r="J6" s="14" t="str">
        <f t="shared" si="4"/>
        <v>Excellent</v>
      </c>
      <c r="K6" s="17" t="str">
        <f t="shared" si="8"/>
        <v>High</v>
      </c>
      <c r="L6" s="22">
        <f>IF(AND(C6&gt;=150,E6="North"),500,300)</f>
        <v>500</v>
      </c>
      <c r="M6" s="29" t="str">
        <f>IF(C6&gt;=QUARTILE(C2:C7,3),"YES","NO")</f>
        <v>YES</v>
      </c>
    </row>
    <row r="7" spans="1:13" x14ac:dyDescent="0.25">
      <c r="A7" s="25">
        <v>106</v>
      </c>
      <c r="B7" s="25" t="s">
        <v>22</v>
      </c>
      <c r="C7" s="25">
        <v>130</v>
      </c>
      <c r="D7" s="25">
        <v>160</v>
      </c>
      <c r="E7" s="25" t="s">
        <v>16</v>
      </c>
      <c r="F7" s="5" t="str">
        <f t="shared" si="7"/>
        <v>NO</v>
      </c>
      <c r="G7" s="26" t="str">
        <f t="shared" si="1"/>
        <v>NOT ELIGIBLE</v>
      </c>
      <c r="H7" s="9">
        <f t="shared" si="2"/>
        <v>0.05</v>
      </c>
      <c r="I7" s="12">
        <f t="shared" si="3"/>
        <v>6.5</v>
      </c>
      <c r="J7" s="14" t="str">
        <f t="shared" si="4"/>
        <v>Needs Improvement</v>
      </c>
      <c r="K7" s="17" t="str">
        <f t="shared" si="8"/>
        <v>Medium</v>
      </c>
      <c r="L7" s="22">
        <f t="shared" si="6"/>
        <v>300</v>
      </c>
      <c r="M7" s="29" t="str">
        <f>IF(C7&gt;=QUARTILE(C2:C7,3),"YES","NO")</f>
        <v>NO</v>
      </c>
    </row>
    <row r="8" spans="1:13" x14ac:dyDescent="0.25">
      <c r="I8" s="8"/>
    </row>
    <row r="10" spans="1:13" x14ac:dyDescent="0.25">
      <c r="A10" s="1" t="s">
        <v>26</v>
      </c>
      <c r="B10" s="1"/>
      <c r="C10" s="1"/>
      <c r="D10" s="1"/>
      <c r="E10" s="1"/>
      <c r="F10" s="1"/>
      <c r="G10" s="1"/>
      <c r="H10" s="1"/>
      <c r="I10" s="1"/>
      <c r="J10" s="1"/>
    </row>
    <row r="11" spans="1:13" x14ac:dyDescent="0.25">
      <c r="A11" s="2" t="s">
        <v>23</v>
      </c>
      <c r="B11" s="2"/>
      <c r="C11" s="2"/>
      <c r="D11" s="2"/>
      <c r="E11" s="2"/>
      <c r="F11" s="2"/>
      <c r="G11" s="2"/>
      <c r="H11" s="2"/>
      <c r="I11" s="2"/>
      <c r="J11" s="2"/>
    </row>
    <row r="12" spans="1:13" x14ac:dyDescent="0.25">
      <c r="A12" s="7" t="s">
        <v>24</v>
      </c>
      <c r="B12" s="7"/>
      <c r="C12" s="7"/>
      <c r="D12" s="7"/>
      <c r="E12" s="7"/>
      <c r="F12" s="7"/>
      <c r="G12" s="7"/>
      <c r="H12" s="7"/>
      <c r="I12" s="7"/>
      <c r="J12" s="7"/>
      <c r="K12" s="20"/>
    </row>
    <row r="13" spans="1:13" x14ac:dyDescent="0.25">
      <c r="A13" s="11" t="s">
        <v>25</v>
      </c>
      <c r="B13" s="11"/>
      <c r="C13" s="11"/>
      <c r="D13" s="11"/>
      <c r="E13" s="11"/>
      <c r="F13" s="11"/>
      <c r="G13" s="11"/>
      <c r="H13" s="11"/>
      <c r="I13" s="11"/>
      <c r="J13" s="11"/>
    </row>
    <row r="14" spans="1:13" ht="17.100000000000001" customHeight="1" x14ac:dyDescent="0.25">
      <c r="A14" s="15" t="s">
        <v>30</v>
      </c>
      <c r="B14" s="15"/>
      <c r="C14" s="15"/>
      <c r="D14" s="15"/>
      <c r="E14" s="15"/>
      <c r="F14" s="15"/>
      <c r="G14" s="15"/>
      <c r="H14" s="15"/>
      <c r="I14" s="15"/>
      <c r="J14" s="15"/>
    </row>
    <row r="15" spans="1:13" ht="16.5" customHeight="1" x14ac:dyDescent="0.25">
      <c r="A15" s="18" t="s">
        <v>29</v>
      </c>
      <c r="B15" s="18"/>
      <c r="C15" s="18"/>
      <c r="D15" s="18"/>
      <c r="E15" s="18"/>
      <c r="F15" s="18"/>
      <c r="G15" s="18"/>
      <c r="H15" s="18"/>
      <c r="I15" s="18"/>
      <c r="J15" s="18"/>
      <c r="K15" s="19"/>
      <c r="L15" s="19"/>
      <c r="M15" s="19"/>
    </row>
    <row r="16" spans="1:13" x14ac:dyDescent="0.25">
      <c r="A16" s="23" t="s">
        <v>27</v>
      </c>
      <c r="B16" s="23"/>
      <c r="C16" s="23"/>
      <c r="D16" s="23"/>
      <c r="E16" s="23"/>
      <c r="F16" s="23"/>
      <c r="G16" s="23"/>
      <c r="H16" s="23"/>
      <c r="I16" s="23"/>
      <c r="J16" s="23"/>
    </row>
    <row r="17" spans="1:10" x14ac:dyDescent="0.25">
      <c r="A17" s="30" t="s">
        <v>28</v>
      </c>
      <c r="B17" s="30"/>
      <c r="C17" s="30"/>
      <c r="D17" s="30"/>
      <c r="E17" s="30"/>
      <c r="F17" s="30"/>
      <c r="G17" s="30"/>
      <c r="H17" s="30"/>
      <c r="I17" s="30"/>
      <c r="J17" s="30"/>
    </row>
  </sheetData>
  <mergeCells count="2">
    <mergeCell ref="A14:J14"/>
    <mergeCell ref="A15:J15"/>
  </mergeCells>
  <pageMargins left="0.75" right="0.75" top="1" bottom="1" header="0.5" footer="0.5"/>
  <pageSetup orientation="portrait" r:id="rId1"/>
  <ignoredErrors>
    <ignoredError sqref="F4 K4 M4" formula="1"/>
    <ignoredError sqref="M5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Anudip</cp:lastModifiedBy>
  <dcterms:created xsi:type="dcterms:W3CDTF">2026-05-20T11:39:18Z</dcterms:created>
  <dcterms:modified xsi:type="dcterms:W3CDTF">2026-05-21T07:05:45Z</dcterms:modified>
</cp:coreProperties>
</file>