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D2E0EF29-AC59-4337-AE17-56FF8FC8028C}" xr6:coauthVersionLast="37" xr6:coauthVersionMax="37" xr10:uidLastSave="{00000000-0000-0000-0000-000000000000}"/>
  <bookViews>
    <workbookView xWindow="0" yWindow="0" windowWidth="17970" windowHeight="5865" activeTab="1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79021"/>
</workbook>
</file>

<file path=xl/calcChain.xml><?xml version="1.0" encoding="utf-8"?>
<calcChain xmlns="http://schemas.openxmlformats.org/spreadsheetml/2006/main">
  <c r="C5" i="4" l="1"/>
  <c r="B2" i="4"/>
  <c r="B3" i="4"/>
  <c r="B4" i="4"/>
  <c r="B5" i="4"/>
  <c r="B6" i="4"/>
  <c r="B7" i="4"/>
  <c r="A3" i="4"/>
  <c r="C3" i="4" s="1"/>
  <c r="A4" i="4"/>
  <c r="C4" i="4" s="1"/>
  <c r="A5" i="4"/>
  <c r="A6" i="4"/>
  <c r="C6" i="4" s="1"/>
  <c r="A7" i="4"/>
  <c r="C7" i="4" s="1"/>
  <c r="A2" i="4"/>
  <c r="C2" i="4" s="1"/>
  <c r="B2" i="3"/>
  <c r="G3" i="2"/>
  <c r="G4" i="2"/>
  <c r="G5" i="2"/>
  <c r="G6" i="2"/>
  <c r="G7" i="2"/>
  <c r="G2" i="2"/>
  <c r="H6" i="2"/>
  <c r="H7" i="2"/>
  <c r="H3" i="2"/>
  <c r="H4" i="2"/>
  <c r="H5" i="2"/>
  <c r="H2" i="2"/>
  <c r="F3" i="2"/>
  <c r="F4" i="2"/>
  <c r="F5" i="2"/>
  <c r="F6" i="2"/>
  <c r="F7" i="2"/>
  <c r="F2" i="2"/>
  <c r="E2" i="2"/>
  <c r="E7" i="2"/>
  <c r="E6" i="2"/>
  <c r="E4" i="2"/>
  <c r="E5" i="2"/>
  <c r="E3" i="2"/>
  <c r="D4" i="2"/>
  <c r="D7" i="2"/>
  <c r="D6" i="2"/>
  <c r="D5" i="2"/>
  <c r="D3" i="2"/>
  <c r="D2" i="2"/>
</calcChain>
</file>

<file path=xl/sharedStrings.xml><?xml version="1.0" encoding="utf-8"?>
<sst xmlns="http://schemas.openxmlformats.org/spreadsheetml/2006/main" count="39" uniqueCount="37">
  <si>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</si>
  <si>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</si>
  <si>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</si>
  <si>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</si>
  <si>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</si>
  <si>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</si>
  <si>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</si>
  <si>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</si>
  <si>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</si>
  <si>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</si>
  <si>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</si>
  <si>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</si>
  <si>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</si>
  <si>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</si>
  <si>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</si>
  <si>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</si>
  <si>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</si>
  <si>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</si>
  <si>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</si>
  <si>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</si>
  <si>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</si>
  <si>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</si>
  <si>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</si>
  <si>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TASKS</t>
  </si>
  <si>
    <t>Maximum order value</t>
  </si>
  <si>
    <t>RESULT</t>
  </si>
  <si>
    <t>Product not ordered</t>
  </si>
  <si>
    <t>all products ordered.</t>
  </si>
  <si>
    <t>PRODUCT_ID</t>
  </si>
  <si>
    <t>PRODUCT_NAME</t>
  </si>
  <si>
    <t>TOTAL_QUANTITY_SOLD</t>
  </si>
  <si>
    <t>DONE in D1 - D7</t>
  </si>
  <si>
    <t>Done in F1- F7</t>
  </si>
  <si>
    <t>Done in H1 - H7</t>
  </si>
  <si>
    <t>Done in G1 - G7</t>
  </si>
  <si>
    <t xml:space="preserve">Done in Analysis Sheet </t>
  </si>
  <si>
    <t>Done in Product Summary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</si>
</sst>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CC"/>
      <color rgb="FFCCFFCC"/>
      <color rgb="FF99CCFF"/>
      <color rgb="FFFFFFCC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11" sqref="B11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 t="s">
        <v>3</v>
      </c>
      <c r="C2">
        <v>120</v>
      </c>
    </row>
    <row r="3" spans="1:3" x14ac:dyDescent="0.25">
      <c r="A3">
        <v>102</v>
      </c>
      <c r="B3" t="s">
        <v>4</v>
      </c>
      <c r="C3">
        <v>150</v>
      </c>
    </row>
    <row r="4" spans="1:3" x14ac:dyDescent="0.25">
      <c r="A4">
        <v>103</v>
      </c>
      <c r="B4" t="s">
        <v>5</v>
      </c>
      <c r="C4">
        <v>200</v>
      </c>
    </row>
    <row r="5" spans="1:3" x14ac:dyDescent="0.25">
      <c r="A5">
        <v>104</v>
      </c>
      <c r="B5" t="s">
        <v>6</v>
      </c>
      <c r="C5">
        <v>90</v>
      </c>
    </row>
    <row r="6" spans="1:3" x14ac:dyDescent="0.25">
      <c r="A6">
        <v>105</v>
      </c>
      <c r="B6" t="s">
        <v>7</v>
      </c>
      <c r="C6">
        <v>220</v>
      </c>
    </row>
    <row r="7" spans="1:3" x14ac:dyDescent="0.2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selection activeCell="D22" sqref="D22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25.140625" customWidth="1"/>
  </cols>
  <sheetData>
    <row r="1" spans="1:8" x14ac:dyDescent="0.25">
      <c r="A1" s="1" t="s">
        <v>9</v>
      </c>
      <c r="B1" s="1" t="s">
        <v>0</v>
      </c>
      <c r="C1" s="1" t="s">
        <v>10</v>
      </c>
      <c r="D1" s="4" t="s">
        <v>11</v>
      </c>
      <c r="E1" s="1" t="s">
        <v>12</v>
      </c>
      <c r="F1" s="5" t="s">
        <v>13</v>
      </c>
      <c r="G1" s="10" t="s">
        <v>14</v>
      </c>
      <c r="H1" s="8" t="s">
        <v>15</v>
      </c>
    </row>
    <row r="2" spans="1:8" x14ac:dyDescent="0.25">
      <c r="A2">
        <v>1</v>
      </c>
      <c r="B2">
        <v>101</v>
      </c>
      <c r="C2">
        <v>2</v>
      </c>
      <c r="D2" s="3" t="str">
        <f>VLOOKUP(B2,Products!A2:C7,2,FALSE)</f>
        <v>Product A</v>
      </c>
      <c r="E2">
        <f>VLOOKUP(B2:B7,Products!A2:C7,3,FALSE)</f>
        <v>120</v>
      </c>
      <c r="F2" s="6">
        <f>C2*E2</f>
        <v>240</v>
      </c>
      <c r="G2" s="9">
        <f>E2-(E2*10%)</f>
        <v>108</v>
      </c>
      <c r="H2" s="7" t="str">
        <f>IF(ISNA(VLOOKUP(B2,Products!A2:C7,1,FALSE)),"Not Found","Exists")</f>
        <v>Exists</v>
      </c>
    </row>
    <row r="3" spans="1:8" x14ac:dyDescent="0.25">
      <c r="A3">
        <v>2</v>
      </c>
      <c r="B3">
        <v>103</v>
      </c>
      <c r="C3">
        <v>1</v>
      </c>
      <c r="D3" s="3" t="str">
        <f>VLOOKUP(B3,Products!A3:C8,2,FALSE)</f>
        <v>Product C</v>
      </c>
      <c r="E3">
        <f>VLOOKUP(B2:B7,Products!A2:C7,3,FALSE)</f>
        <v>200</v>
      </c>
      <c r="F3" s="6">
        <f t="shared" ref="F3:F7" si="0">C3*E3</f>
        <v>200</v>
      </c>
      <c r="G3" s="9">
        <f t="shared" ref="G3:G7" si="1">E3-(E3*10%)</f>
        <v>180</v>
      </c>
      <c r="H3" s="7" t="str">
        <f>IF(ISNA(VLOOKUP(B3,Products!A3:C8,1,FALSE)),"Not Found","Exists")</f>
        <v>Exists</v>
      </c>
    </row>
    <row r="4" spans="1:8" x14ac:dyDescent="0.25">
      <c r="A4">
        <v>3</v>
      </c>
      <c r="B4">
        <v>105</v>
      </c>
      <c r="C4">
        <v>4</v>
      </c>
      <c r="D4" s="3" t="str">
        <f>VLOOKUP(B4,Products!A4:C9,2,FALSE)</f>
        <v>Product E</v>
      </c>
      <c r="E4">
        <f>VLOOKUP(B3:B8,Products!A3:C8,3,FALSE)</f>
        <v>220</v>
      </c>
      <c r="F4" s="6">
        <f t="shared" si="0"/>
        <v>880</v>
      </c>
      <c r="G4" s="9">
        <f t="shared" si="1"/>
        <v>198</v>
      </c>
      <c r="H4" s="7" t="str">
        <f>IF(ISNA(VLOOKUP(B4,Products!A4:C9,1,FALSE)),"Not Found","Exists")</f>
        <v>Exists</v>
      </c>
    </row>
    <row r="5" spans="1:8" x14ac:dyDescent="0.25">
      <c r="A5">
        <v>4</v>
      </c>
      <c r="B5">
        <v>106</v>
      </c>
      <c r="C5">
        <v>3</v>
      </c>
      <c r="D5" s="3" t="str">
        <f>VLOOKUP(B5,Products!A5:C10,2,FALSE)</f>
        <v>Product F</v>
      </c>
      <c r="E5">
        <f>VLOOKUP(B4:B9,Products!A4:C9,3,FALSE)</f>
        <v>130</v>
      </c>
      <c r="F5" s="6">
        <f t="shared" si="0"/>
        <v>390</v>
      </c>
      <c r="G5" s="9">
        <f t="shared" si="1"/>
        <v>117</v>
      </c>
      <c r="H5" s="7" t="str">
        <f>IF(ISNA(VLOOKUP(B5,Products!A5:C10,1,FALSE)),"Not Found","Exists")</f>
        <v>Exists</v>
      </c>
    </row>
    <row r="6" spans="1:8" x14ac:dyDescent="0.25">
      <c r="A6">
        <v>5</v>
      </c>
      <c r="B6">
        <v>102</v>
      </c>
      <c r="C6">
        <v>5</v>
      </c>
      <c r="D6" s="3" t="str">
        <f>VLOOKUP(B6,Products!A2:C7,2,FALSE)</f>
        <v>Product B</v>
      </c>
      <c r="E6">
        <f>VLOOKUP(B5:B7,Products!A2:C7,3,FALSE)</f>
        <v>150</v>
      </c>
      <c r="F6" s="6">
        <f t="shared" si="0"/>
        <v>750</v>
      </c>
      <c r="G6" s="9">
        <f t="shared" si="1"/>
        <v>135</v>
      </c>
      <c r="H6" s="7" t="str">
        <f>IF(ISNA(VLOOKUP(B6,Products!A2:C7,1,FALSE)),"Not Found","Exists")</f>
        <v>Exists</v>
      </c>
    </row>
    <row r="7" spans="1:8" x14ac:dyDescent="0.25">
      <c r="A7">
        <v>6</v>
      </c>
      <c r="B7">
        <v>104</v>
      </c>
      <c r="C7">
        <v>6</v>
      </c>
      <c r="D7" s="3" t="str">
        <f>VLOOKUP(B7,Products!A3:C8,2,FALSE)</f>
        <v>Product D</v>
      </c>
      <c r="E7">
        <f>VLOOKUP(B6:B8,Products!A3:C8,3,FALSE)</f>
        <v>90</v>
      </c>
      <c r="F7" s="6">
        <f t="shared" si="0"/>
        <v>540</v>
      </c>
      <c r="G7" s="9">
        <f t="shared" si="1"/>
        <v>81</v>
      </c>
      <c r="H7" s="7" t="str">
        <f>IF(ISNA(VLOOKUP(B7,Products!A3:C8,1,FALSE)),"Not Found","Exists")</f>
        <v>Exists</v>
      </c>
    </row>
    <row r="10" spans="1:8" x14ac:dyDescent="0.25">
      <c r="A10" t="s">
        <v>16</v>
      </c>
      <c r="E10" s="3" t="s">
        <v>31</v>
      </c>
    </row>
    <row r="11" spans="1:8" x14ac:dyDescent="0.25">
      <c r="A11" t="s">
        <v>17</v>
      </c>
      <c r="G11" s="6" t="s">
        <v>32</v>
      </c>
    </row>
    <row r="12" spans="1:8" x14ac:dyDescent="0.25">
      <c r="A12" t="s">
        <v>18</v>
      </c>
      <c r="F12" s="7" t="s">
        <v>33</v>
      </c>
    </row>
    <row r="13" spans="1:8" x14ac:dyDescent="0.25">
      <c r="A13" t="s">
        <v>19</v>
      </c>
      <c r="F13" s="9" t="s">
        <v>34</v>
      </c>
    </row>
    <row r="14" spans="1:8" x14ac:dyDescent="0.25">
      <c r="A14" t="s">
        <v>20</v>
      </c>
      <c r="F14" s="11" t="s">
        <v>35</v>
      </c>
      <c r="G14" s="11"/>
    </row>
    <row r="15" spans="1:8" x14ac:dyDescent="0.25">
      <c r="A15" t="s">
        <v>21</v>
      </c>
      <c r="F15" s="11" t="s">
        <v>35</v>
      </c>
      <c r="G15" s="11"/>
    </row>
    <row r="16" spans="1:8" x14ac:dyDescent="0.25">
      <c r="A16" t="s">
        <v>22</v>
      </c>
      <c r="F16" s="12" t="s">
        <v>36</v>
      </c>
      <c r="G16" s="12"/>
    </row>
  </sheetData>
  <pageMargins left="0.75" right="0.75" top="1" bottom="1" header="0.5" footer="0.5"/>
  <ignoredErrors>
    <ignoredError sqref="E4:E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FFCC"/>
  </sheetPr>
  <dimension ref="A1:B4"/>
  <sheetViews>
    <sheetView workbookViewId="0">
      <selection activeCell="A4" sqref="A4"/>
    </sheetView>
  </sheetViews>
  <sheetFormatPr defaultRowHeight="15" x14ac:dyDescent="0.25"/>
  <cols>
    <col min="1" max="1" width="42" customWidth="1"/>
    <col min="2" max="2" width="23" customWidth="1"/>
  </cols>
  <sheetData>
    <row r="1" spans="1:2" x14ac:dyDescent="0.25">
      <c r="A1" s="1" t="s">
        <v>23</v>
      </c>
      <c r="B1" s="1" t="s">
        <v>25</v>
      </c>
    </row>
    <row r="2" spans="1:2" x14ac:dyDescent="0.25">
      <c r="A2" t="s">
        <v>24</v>
      </c>
      <c r="B2">
        <f>MAX(Orders!F2:F7)</f>
        <v>880</v>
      </c>
    </row>
    <row r="3" spans="1:2" x14ac:dyDescent="0.25">
      <c r="A3" t="s">
        <v>26</v>
      </c>
      <c r="B3" t="s">
        <v>27</v>
      </c>
    </row>
    <row r="4" spans="1:2" x14ac:dyDescent="0.2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CC"/>
  </sheetPr>
  <dimension ref="A1:C7"/>
  <sheetViews>
    <sheetView workbookViewId="0">
      <selection activeCell="C2" sqref="C2"/>
    </sheetView>
  </sheetViews>
  <sheetFormatPr defaultRowHeight="15" x14ac:dyDescent="0.25"/>
  <cols>
    <col min="1" max="2" width="17" customWidth="1"/>
    <col min="3" max="3" width="23" customWidth="1"/>
  </cols>
  <sheetData>
    <row r="1" spans="1:3" x14ac:dyDescent="0.25">
      <c r="A1" s="1" t="s">
        <v>28</v>
      </c>
      <c r="B1" s="1" t="s">
        <v>29</v>
      </c>
      <c r="C1" s="2" t="s">
        <v>30</v>
      </c>
    </row>
    <row r="2" spans="1:3" x14ac:dyDescent="0.25">
      <c r="A2">
        <f>Products!A2</f>
        <v>101</v>
      </c>
      <c r="B2" t="str">
        <f>Products!B2</f>
        <v>Product A</v>
      </c>
      <c r="C2">
        <f>SUMIF(Orders!B2:B7,A2,Orders!C2:C7)</f>
        <v>2</v>
      </c>
    </row>
    <row r="3" spans="1:3" x14ac:dyDescent="0.25">
      <c r="A3">
        <f>Products!A3</f>
        <v>102</v>
      </c>
      <c r="B3" t="str">
        <f>Products!B3</f>
        <v>Product B</v>
      </c>
      <c r="C3">
        <f>SUMIF(Orders!B3:B8,A3,Orders!C3:C8)</f>
        <v>5</v>
      </c>
    </row>
    <row r="4" spans="1:3" x14ac:dyDescent="0.25">
      <c r="A4">
        <f>Products!A4</f>
        <v>103</v>
      </c>
      <c r="B4" t="str">
        <f>Products!B4</f>
        <v>Product C</v>
      </c>
      <c r="C4">
        <f>SUMIF(Orders!B2:B7,A4,Orders!C2:C7)</f>
        <v>1</v>
      </c>
    </row>
    <row r="5" spans="1:3" x14ac:dyDescent="0.25">
      <c r="A5">
        <f>Products!A5</f>
        <v>104</v>
      </c>
      <c r="B5" t="str">
        <f>Products!B5</f>
        <v>Product D</v>
      </c>
      <c r="C5">
        <f>SUMIF(Orders!B2:B7,A5:A8,Orders!C2:C7)</f>
        <v>6</v>
      </c>
    </row>
    <row r="6" spans="1:3" x14ac:dyDescent="0.25">
      <c r="A6">
        <f>Products!A6</f>
        <v>105</v>
      </c>
      <c r="B6" t="str">
        <f>Products!B6</f>
        <v>Product E</v>
      </c>
      <c r="C6">
        <f>SUMIF(Orders!B3:B8,A6:A9,Orders!C3:C8)</f>
        <v>4</v>
      </c>
    </row>
    <row r="7" spans="1:3" x14ac:dyDescent="0.25">
      <c r="A7">
        <f>Products!A7</f>
        <v>106</v>
      </c>
      <c r="B7" t="str">
        <f>Products!B7</f>
        <v>Product F</v>
      </c>
      <c r="C7">
        <f>SUMIF(Orders!B4:B9,A7:A10,Orders!C4:C9)</f>
        <v>3</v>
      </c>
    </row>
  </sheetData>
  <pageMargins left="0.75" right="0.75" top="1" bottom="1" header="0.5" footer="0.5"/>
  <pageSetup orientation="portrait" r:id="rId1"/>
  <ignoredErrors>
    <ignoredError sqref="C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2026-05-18T03:48:30Z</dcterms:created>
  <dcterms:modified xsi:type="dcterms:W3CDTF">2026-05-19T08:01:36Z</dcterms:modified>
</cp:coreProperties>
</file>